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mmary" sheetId="1" state="visible" r:id="rId3"/>
    <sheet name="Assumptions" sheetId="2" state="visible" r:id="rId4"/>
    <sheet name="Backtest" sheetId="3" state="visible" r:id="rId5"/>
    <sheet name="Fraud patterns" sheetId="4" state="visible" r:id="rId6"/>
    <sheet name="Test period flags" sheetId="5" state="visible" r:id="rId7"/>
    <sheet name="Rupee calculator" sheetId="6" state="visible" r:id="rId8"/>
    <sheet name="Data issues &amp; decisions" sheetId="7" state="visible" r:id="rId9"/>
    <sheet name="Next steps" sheetId="8" state="visible" r:id="rId10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<sst xmlns="http://schemas.openxmlformats.org/spreadsheetml/2006/main" count="229" uniqueCount="196">
  <si>
    <t xml:space="preserve">Kestrel Home - warranty fraud: findings so far</t>
  </si>
  <si>
    <t xml:space="preserve">Prepared from the data pack. Sheets: Assumptions, Backtest, Fraud patterns, Test period flags, Rupee calculator, Data issues &amp; decisions, Next steps.</t>
  </si>
  <si>
    <t xml:space="preserve">Finding</t>
  </si>
  <si>
    <t xml:space="preserve">Detail</t>
  </si>
  <si>
    <t xml:space="preserve">Accuracy is the wrong KPI</t>
  </si>
  <si>
    <t xml:space="preserve">Flagging nothing scores 96.9% accuracy in June 2026 - nearly the board's 97%. A useful fraud model scores lower (about 95%) because it holds some genuine claims.</t>
  </si>
  <si>
    <t xml:space="preserve">What works instead</t>
  </si>
  <si>
    <t xml:space="preserve">Rupees of fraud stopped per claim checked. Backtests: about Rs 130-220 net per check; the desk catches roughly 40-60% of fraud with 40 reviews a month.</t>
  </si>
  <si>
    <t xml:space="preserve">Two kinds of fraud</t>
  </si>
  <si>
    <t xml:space="preserve">Until April: large claims close to the product price, repeat claimants. Since 1 May: small claims under Rs 2,000, uninspected, at a few outlets.</t>
  </si>
  <si>
    <t xml:space="preserve">Ritu is half right</t>
  </si>
  <si>
    <t xml:space="preserve">New partners went from 0% to 16% fraud since the change - but it is about 7 outlets (SP3160, SP3232, SP3318, SP3129, SP3319, SP3118, SP3286). Other new partners are clean (Meenal is right).</t>
  </si>
  <si>
    <t xml:space="preserve">Biggest practical lever</t>
  </si>
  <si>
    <t xml:space="preserve">80% of the model's Jul-Sep flags fall on those 7 outlets. Audit them / pull their auto-approve right rather than reviewing 120 claims one by one.</t>
  </si>
  <si>
    <t xml:space="preserve">Biggest risk</t>
  </si>
  <si>
    <t xml:space="preserve">The pattern changed once (1 May) and the model failed completely when it had not seen it. Retrain monthly; brand-new outlets have no history.</t>
  </si>
  <si>
    <t xml:space="preserve">Expected score on hidden outcomes</t>
  </si>
  <si>
    <t xml:space="preserve">AUC about 0.80-0.90 (backtests 0.88-0.89). Roughly a third of flagged claims will be genuine fraud (precision about 25-30%).</t>
  </si>
  <si>
    <t xml:space="preserve">Assumptions used in every rupee calculation</t>
  </si>
  <si>
    <t xml:space="preserve">Blue = input you can change. Everything else in the workbook recalculates from these.</t>
  </si>
  <si>
    <t xml:space="preserve">Item</t>
  </si>
  <si>
    <t xml:space="preserve">Value</t>
  </si>
  <si>
    <t xml:space="preserve">Source / note</t>
  </si>
  <si>
    <t xml:space="preserve">Goodwill cost per genuine claim wrongly held (Rs)</t>
  </si>
  <si>
    <t xml:space="preserve">Ops policy v4.1 s4: "goodwill worth Rs 380 on average".</t>
  </si>
  <si>
    <t xml:space="preserve">Investigation desk capacity (claims per month)</t>
  </si>
  <si>
    <t xml:space="preserve">Ops policy v4.1 s5; Farhan Sheikh email.</t>
  </si>
  <si>
    <t xml:space="preserve">Typical claims per month</t>
  </si>
  <si>
    <t xml:space="preserve">Training data: about 780 claims/month Apr 2025 - Jun 2026; test months 730-786.</t>
  </si>
  <si>
    <t xml:space="preserve">Blended cost of a service contact (Rs)</t>
  </si>
  <si>
    <t xml:space="preserve">Ops policy v4.1 s4. NOT used: it is unclear whether it applies to a review or a repair visit. Decision: excluded, so net figures are slightly generous if each review costs a contact.</t>
  </si>
  <si>
    <t xml:space="preserve">Auto-approve threshold (Rs)</t>
  </si>
  <si>
    <t xml:space="preserve">Ops policy v4.1 s5, from 1 May 2026.</t>
  </si>
  <si>
    <t xml:space="preserve">Board KPI: accuracy target</t>
  </si>
  <si>
    <t xml:space="preserve">Ritu Deshpande email / brief.</t>
  </si>
  <si>
    <t xml:space="preserve">Share of claims the desk can review</t>
  </si>
  <si>
    <t xml:space="preserve">Time-based backtest: how the model would have done</t>
  </si>
  <si>
    <t xml:space="preserve">Train only on claims before the cutoff, score claims from the cutoff to 30 Jun 2026. Flag the same share of claims the desk can review (5.3%). Final model type: logistic regression + outlet fraud history.</t>
  </si>
  <si>
    <t xml:space="preserve">Cutoff (trained on claims before)</t>
  </si>
  <si>
    <t xml:space="preserve">Claims scored</t>
  </si>
  <si>
    <t xml:space="preserve">Actual fraud</t>
  </si>
  <si>
    <t xml:space="preserve">Claims flagged</t>
  </si>
  <si>
    <t xml:space="preserve">Fraud caught</t>
  </si>
  <si>
    <t xml:space="preserve">Rs of fraud stopped</t>
  </si>
  <si>
    <t xml:space="preserve">Genuine claims wrongly held</t>
  </si>
  <si>
    <t xml:space="preserve">AUC</t>
  </si>
  <si>
    <t xml:space="preserve">Share of fraud caught</t>
  </si>
  <si>
    <t xml:space="preserve">90% range, low</t>
  </si>
  <si>
    <t xml:space="preserve">90% range, high</t>
  </si>
  <si>
    <t xml:space="preserve">Precision of flags</t>
  </si>
  <si>
    <t xml:space="preserve">Goodwill cost (Rs)</t>
  </si>
  <si>
    <t xml:space="preserve">Net Rs stopped</t>
  </si>
  <si>
    <t xml:space="preserve">Net Rs per claim checked</t>
  </si>
  <si>
    <t xml:space="preserve">Accuracy if we flag</t>
  </si>
  <si>
    <t xml:space="preserve">Accuracy if we flag nothing</t>
  </si>
  <si>
    <t xml:space="preserve">1 Jun 2026 (predict June)</t>
  </si>
  <si>
    <t xml:space="preserve">16 May 2026 (predict 16 May-Jun)</t>
  </si>
  <si>
    <t xml:space="preserve">1 May 2026 (model never saw post-change behaviour)</t>
  </si>
  <si>
    <t xml:space="preserve">Reading this:</t>
  </si>
  <si>
    <t xml:space="preserve">1. Flagging claims LOWERS accuracy (col P &lt; col Q) because every wrongly-held genuine claim counts as an error. A model that flags nothing beats a useful one on accuracy. Accuracy cannot be the KPI.</t>
  </si>
  <si>
    <t xml:space="preserve">2. Rupees per claim checked (col O) is the number Farhan asked for. About Rs 130-220 net per check in the two usable backtests; wide uncertainty because June has only 22 fraud cases (cols J-K).</t>
  </si>
  <si>
    <t xml:space="preserve">3. Row 3 is a warning, not a result: a model trained before the 1 May change is worse than random after it (AUC 0.18). The fraud pattern changed; the model must be retrained at least monthly.</t>
  </si>
  <si>
    <t xml:space="preserve">4. Inputs in blue are measured from the labelled data (undecided and duplicate claims removed). Method: expanding partner fraud history using only earlier labels; post-May rows weighted 3x.</t>
  </si>
  <si>
    <t xml:space="preserve">Where the fraud is (labelled claims, duplicates and undecided removed)</t>
  </si>
  <si>
    <t xml:space="preserve">"New partner" = onboarded on or after 1 Apr 2025. "Since change" = claims from 1 May 2026.</t>
  </si>
  <si>
    <t xml:space="preserve">Segment</t>
  </si>
  <si>
    <t xml:space="preserve">Claims</t>
  </si>
  <si>
    <t xml:space="preserve">Fraud cases</t>
  </si>
  <si>
    <t xml:space="preserve">Fraud rate</t>
  </si>
  <si>
    <t xml:space="preserve">Before May 2026 - established partners</t>
  </si>
  <si>
    <t xml:space="preserve">Before May 2026 - new partners</t>
  </si>
  <si>
    <t xml:space="preserve">Since May 2026 - established partners</t>
  </si>
  <si>
    <t xml:space="preserve">Since May 2026 - new partners</t>
  </si>
  <si>
    <t xml:space="preserve">Before May 2026 - claims under Rs 2,000</t>
  </si>
  <si>
    <t xml:space="preserve">Before May 2026 - claims Rs 2,000+</t>
  </si>
  <si>
    <t xml:space="preserve">Since May 2026 - claims under Rs 2,000</t>
  </si>
  <si>
    <t xml:space="preserve">Since May 2026 - claims Rs 2,000+</t>
  </si>
  <si>
    <t xml:space="preserve">Since May 2026 - not inspected</t>
  </si>
  <si>
    <t xml:space="preserve">Since May 2026 - inspected</t>
  </si>
  <si>
    <t xml:space="preserve">All labelled claims</t>
  </si>
  <si>
    <t xml:space="preserve">Fraud since May 2026 sits at about 7 outlets, not all new partners</t>
  </si>
  <si>
    <t xml:space="preserve">Outlet</t>
  </si>
  <si>
    <t xml:space="preserve">Claims since May (labelled)</t>
  </si>
  <si>
    <t xml:space="preserve">Confirmed fraud</t>
  </si>
  <si>
    <t xml:space="preserve">City</t>
  </si>
  <si>
    <t xml:space="preserve">Onboarded</t>
  </si>
  <si>
    <t xml:space="preserve">SP3160</t>
  </si>
  <si>
    <t xml:space="preserve">Pune</t>
  </si>
  <si>
    <t xml:space="preserve">2025-12-27</t>
  </si>
  <si>
    <t xml:space="preserve">SP3232</t>
  </si>
  <si>
    <t xml:space="preserve">Jaipur</t>
  </si>
  <si>
    <t xml:space="preserve">2025-11-26</t>
  </si>
  <si>
    <t xml:space="preserve">SP3318</t>
  </si>
  <si>
    <t xml:space="preserve">Hubballi</t>
  </si>
  <si>
    <t xml:space="preserve">2025-12-06</t>
  </si>
  <si>
    <t xml:space="preserve">SP3129</t>
  </si>
  <si>
    <t xml:space="preserve">Chennai</t>
  </si>
  <si>
    <t xml:space="preserve">2026-01-19</t>
  </si>
  <si>
    <t xml:space="preserve">SP3319</t>
  </si>
  <si>
    <t xml:space="preserve">Warangal</t>
  </si>
  <si>
    <t xml:space="preserve">2026-02-11</t>
  </si>
  <si>
    <t xml:space="preserve">SP3118</t>
  </si>
  <si>
    <t xml:space="preserve">2026-06-03</t>
  </si>
  <si>
    <t xml:space="preserve">SP3286</t>
  </si>
  <si>
    <t xml:space="preserve">Mysuru</t>
  </si>
  <si>
    <t xml:space="preserve">2026-06-04</t>
  </si>
  <si>
    <t xml:space="preserve">These 7 outlets</t>
  </si>
  <si>
    <t xml:space="preserve">Other new partners with claims since May (about 38)</t>
  </si>
  <si>
    <t xml:space="preserve">Note: SP3118 and SP3286 each rest on 2 claims. Treat as strong suspicion, not proof.</t>
  </si>
  <si>
    <t xml:space="preserve">What the final model flags in Jul-Sep 2026 (top 5.3% of claims, ~40 a month)</t>
  </si>
  <si>
    <t xml:space="preserve">From predictions.csv; threshold = score of the 40th-highest claim per 750.</t>
  </si>
  <si>
    <t xml:space="preserve">Month</t>
  </si>
  <si>
    <t xml:space="preserve">Flagged for review</t>
  </si>
  <si>
    <t xml:space="preserve">Jul 2026</t>
  </si>
  <si>
    <t xml:space="preserve">Aug 2026</t>
  </si>
  <si>
    <t xml:space="preserve">Sep 2026</t>
  </si>
  <si>
    <t xml:space="preserve">Total</t>
  </si>
  <si>
    <t xml:space="preserve">Flagged claims</t>
  </si>
  <si>
    <t xml:space="preserve">Share of all flags</t>
  </si>
  <si>
    <t xml:space="preserve">The 7 outlets are the ones with fraud in the training data. 80% of flags land on them, so the practical action is an outlet audit / pulling their auto-approve right, not 120 separate checks.</t>
  </si>
  <si>
    <t xml:space="preserve">Rupees stopped per claim checked - what-if</t>
  </si>
  <si>
    <t xml:space="preserve">Change the blue cells. Uses goodwill and capacity from Assumptions.</t>
  </si>
  <si>
    <t xml:space="preserve">Claims reviewed per month</t>
  </si>
  <si>
    <t xml:space="preserve">Average fraud claim amount (Rs)</t>
  </si>
  <si>
    <t xml:space="preserve">June backtest: 12 fraud claims stopped worth Rs 18,174 = about Rs 1,500 each. Since-May fraud averages Rs 1,865 (36 cases); pre-May fraud averaged Rs 5,433.</t>
  </si>
  <si>
    <t xml:space="preserve">Share of reviewed claims that are fraud (precision)</t>
  </si>
  <si>
    <t xml:space="preserve">Backtest precision: 32% (12 of 38) in June, 24% (14 of 58) from 16 May. 28% is the middle.</t>
  </si>
  <si>
    <t xml:space="preserve">Rs of fraud stopped per month</t>
  </si>
  <si>
    <t xml:space="preserve">Goodwill cost per month</t>
  </si>
  <si>
    <t xml:space="preserve">Net rupees per month</t>
  </si>
  <si>
    <t xml:space="preserve">Net rupees per claim checked</t>
  </si>
  <si>
    <t xml:space="preserve">Break-even precision at this average amount</t>
  </si>
  <si>
    <t xml:space="preserve">Precision of reviewed claims</t>
  </si>
  <si>
    <t xml:space="preserve">Net Rs per month</t>
  </si>
  <si>
    <t xml:space="preserve">Data problems found and what was decided</t>
  </si>
  <si>
    <t xml:space="preserve">Issue</t>
  </si>
  <si>
    <t xml:space="preserve">What was found</t>
  </si>
  <si>
    <t xml:space="preserve">Decision</t>
  </si>
  <si>
    <t xml:space="preserve">Effect on result</t>
  </si>
  <si>
    <t xml:space="preserve">Re-submitted claims</t>
  </si>
  <si>
    <t xml:space="preserve">681 train rows repeat an earlier claim_id (same content, later timestamp). Labels agree.</t>
  </si>
  <si>
    <t xml:space="preserve">Kept the first submission of each claim; grouped by claim, never split across validation.</t>
  </si>
  <si>
    <t xml:space="preserve">Stops duplicates inflating accuracy and leaking into validation.</t>
  </si>
  <si>
    <t xml:space="preserve">Undecided cases</t>
  </si>
  <si>
    <t xml:space="preserve">202 labelled-blank claims (all CRM, Oct 2025 onward).</t>
  </si>
  <si>
    <t xml:space="preserve">Excluded from training - not treated as "not fraud".</t>
  </si>
  <si>
    <t xml:space="preserve">Avoids teaching the model that open cases are genuine.</t>
  </si>
  <si>
    <t xml:space="preserve">Legacy blanks stored as 0</t>
  </si>
  <si>
    <t xml:space="preserve">Email says old Zoho blanks came across as 0. Pre-Oct 2025 rows have no blanks at all, though CRM rows run ~3% blank.</t>
  </si>
  <si>
    <t xml:space="preserve">Cannot identify them. Assumed ~3% of legacy "genuine" labels are really open. Documented, not corrected.</t>
  </si>
  <si>
    <t xml:space="preserve">Fraud rate in old data is probably slightly understated. Small.</t>
  </si>
  <si>
    <t xml:space="preserve">Messy serials</t>
  </si>
  <si>
    <t xml:space="preserve">4 formats (case, hyphen, leading space). 30% non-standard.</t>
  </si>
  <si>
    <t xml:space="preserve">Normalised; serial reuse tested and found to carry no fraud signal, so not used.</t>
  </si>
  <si>
    <t xml:space="preserve">None.</t>
  </si>
  <si>
    <t xml:space="preserve">Regime change 1 May 2026</t>
  </si>
  <si>
    <t xml:space="preserve">Claims under Rs 2,000 auto-approved; inspection fell from 93% to 22%. Fraud rate since: 2.5% vs 1.1% before.</t>
  </si>
  <si>
    <t xml:space="preserve">Weighted post-May claims 3x; retrain monthly.</t>
  </si>
  <si>
    <t xml:space="preserve">Model before the change is worse than random after it.</t>
  </si>
  <si>
    <t xml:space="preserve">Partner history is stale</t>
  </si>
  <si>
    <t xml:space="preserve">Labels stop 30 Jun 2026; test is Jul-Sep. Outlets onboarded after that have no history.</t>
  </si>
  <si>
    <t xml:space="preserve">Outlet history is the strongest signal; unknown outlets get the company average. Re-feed new outcomes monthly.</t>
  </si>
  <si>
    <t xml:space="preserve">Expect weaker results on brand-new outlets.</t>
  </si>
  <si>
    <t xml:space="preserve">Accuracy KPI</t>
  </si>
  <si>
    <t xml:space="preserve">97% accuracy: flagging nothing scores 96.9% in June (98.8% across all history).</t>
  </si>
  <si>
    <t xml:space="preserve">Report rupees per claim checked and fraud caught per 40 reviews. Show accuracy for reference only.</t>
  </si>
  <si>
    <t xml:space="preserve">Changes the KPI conversation with the board.</t>
  </si>
  <si>
    <t xml:space="preserve">Timestamps / UTC</t>
  </si>
  <si>
    <t xml:space="preserve">Policy s9: legacy resolution events are in UTC. No resolution-event column exists in this pack; submitted_at is IST.</t>
  </si>
  <si>
    <t xml:space="preserve">No adjustment needed; hour of day was tested and carries no signal.</t>
  </si>
  <si>
    <t xml:space="preserve">Contact cost Rs 260</t>
  </si>
  <si>
    <t xml:space="preserve">Policy gives a blended cost per service contact; not stated whether a review incurs one.</t>
  </si>
  <si>
    <t xml:space="preserve">Excluded. If each review costs Rs 260, net per check falls by up to Rs 260 - see Rupee calculator.</t>
  </si>
  <si>
    <t xml:space="preserve">Stated so it is not a surprise.</t>
  </si>
  <si>
    <t xml:space="preserve">Deliverables checklist</t>
  </si>
  <si>
    <t xml:space="preserve">Deliverable</t>
  </si>
  <si>
    <t xml:space="preserve">Status</t>
  </si>
  <si>
    <t xml:space="preserve">Where / who</t>
  </si>
  <si>
    <t xml:space="preserve">1. predictions.csv (2,252 rows, matches sample_submission)</t>
  </si>
  <si>
    <t xml:space="preserve">Done</t>
  </si>
  <si>
    <t xml:space="preserve">kestrel-fraud/predictions.csv</t>
  </si>
  <si>
    <t xml:space="preserve">   Expected-score statement in the submission form</t>
  </si>
  <si>
    <t xml:space="preserve">To write</t>
  </si>
  <si>
    <t xml:space="preserve">Draft in submission-form.md; edit before sending</t>
  </si>
  <si>
    <t xml:space="preserve">2. Service: /api/score endpoint + screen, no API key</t>
  </si>
  <si>
    <t xml:space="preserve">Done, tested</t>
  </si>
  <si>
    <t xml:space="preserve">kestrel-fraud/server.py, README.md</t>
  </si>
  <si>
    <t xml:space="preserve">3. Evidence (this workbook)</t>
  </si>
  <si>
    <t xml:space="preserve">This file</t>
  </si>
  <si>
    <t xml:space="preserve">4. One-page memo to Ritu</t>
  </si>
  <si>
    <t xml:space="preserve">Next</t>
  </si>
  <si>
    <t xml:space="preserve">5. Screen recording, max 3 minutes</t>
  </si>
  <si>
    <t xml:space="preserve">YOU must record</t>
  </si>
  <si>
    <t xml:space="preserve">Cannot be produced by an assistant</t>
  </si>
  <si>
    <t xml:space="preserve">6. submission-form.md</t>
  </si>
  <si>
    <t xml:space="preserve">Tools used / cost / discarded must be YOUR honest account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</si>
</sst>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#,##0"/>
    <numFmt numFmtId="166" formatCode="0.0%"/>
    <numFmt numFmtId="167" formatCode="0%"/>
    <numFmt numFmtId="168" formatCode="#,##0;\(#,##0\)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i val="true"/>
      <sz val="11"/>
      <color rgb="FF555555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1"/>
      <name val="Arial"/>
      <family val="0"/>
      <charset val="1"/>
    </font>
    <font>
      <sz val="11"/>
      <name val="Arial"/>
      <family val="0"/>
      <charset val="1"/>
    </font>
    <font>
      <sz val="11"/>
      <color rgb="FF0000FF"/>
      <name val="Arial"/>
      <family val="0"/>
      <charset val="1"/>
    </font>
    <font>
      <i val="true"/>
      <sz val="11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FFFF99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7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7" fontId="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8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5" fontId="9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7" fontId="9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BBBBB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110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B4" s="3" t="s">
        <v>3</v>
      </c>
    </row>
    <row r="5" customFormat="false" ht="48" hidden="false" customHeight="true" outlineLevel="0" collapsed="false">
      <c r="A5" s="4" t="s">
        <v>4</v>
      </c>
      <c r="B5" s="5" t="s">
        <v>5</v>
      </c>
    </row>
    <row r="6" customFormat="false" ht="48" hidden="false" customHeight="true" outlineLevel="0" collapsed="false">
      <c r="A6" s="4" t="s">
        <v>6</v>
      </c>
      <c r="B6" s="5" t="s">
        <v>7</v>
      </c>
    </row>
    <row r="7" customFormat="false" ht="48" hidden="false" customHeight="true" outlineLevel="0" collapsed="false">
      <c r="A7" s="4" t="s">
        <v>8</v>
      </c>
      <c r="B7" s="5" t="s">
        <v>9</v>
      </c>
    </row>
    <row r="8" customFormat="false" ht="48" hidden="false" customHeight="true" outlineLevel="0" collapsed="false">
      <c r="A8" s="4" t="s">
        <v>10</v>
      </c>
      <c r="B8" s="5" t="s">
        <v>11</v>
      </c>
    </row>
    <row r="9" customFormat="false" ht="48" hidden="false" customHeight="true" outlineLevel="0" collapsed="false">
      <c r="A9" s="4" t="s">
        <v>12</v>
      </c>
      <c r="B9" s="5" t="s">
        <v>13</v>
      </c>
    </row>
    <row r="10" customFormat="false" ht="48" hidden="false" customHeight="true" outlineLevel="0" collapsed="false">
      <c r="A10" s="4" t="s">
        <v>14</v>
      </c>
      <c r="B10" s="5" t="s">
        <v>15</v>
      </c>
    </row>
    <row r="11" customFormat="false" ht="48" hidden="false" customHeight="true" outlineLevel="0" collapsed="false">
      <c r="A11" s="4" t="s">
        <v>16</v>
      </c>
      <c r="B11" s="5" t="s">
        <v>17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2"/>
    <col collapsed="false" customWidth="true" hidden="false" outlineLevel="0" max="2" min="2" style="0" width="14"/>
    <col collapsed="false" customWidth="true" hidden="false" outlineLevel="0" max="3" min="3" style="0" width="90"/>
  </cols>
  <sheetData>
    <row r="1" customFormat="false" ht="17.35" hidden="false" customHeight="false" outlineLevel="0" collapsed="false">
      <c r="A1" s="1" t="s">
        <v>18</v>
      </c>
    </row>
    <row r="2" customFormat="false" ht="15" hidden="false" customHeight="false" outlineLevel="0" collapsed="false">
      <c r="A2" s="2" t="s">
        <v>19</v>
      </c>
    </row>
    <row r="4" customFormat="false" ht="15" hidden="false" customHeight="false" outlineLevel="0" collapsed="false">
      <c r="A4" s="3" t="s">
        <v>20</v>
      </c>
      <c r="B4" s="3" t="s">
        <v>21</v>
      </c>
      <c r="C4" s="3" t="s">
        <v>22</v>
      </c>
    </row>
    <row r="5" customFormat="false" ht="15" hidden="false" customHeight="false" outlineLevel="0" collapsed="false">
      <c r="A5" s="5" t="s">
        <v>23</v>
      </c>
      <c r="B5" s="6" t="n">
        <v>380</v>
      </c>
      <c r="C5" s="5" t="s">
        <v>24</v>
      </c>
    </row>
    <row r="6" customFormat="false" ht="15" hidden="false" customHeight="false" outlineLevel="0" collapsed="false">
      <c r="A6" s="5" t="s">
        <v>25</v>
      </c>
      <c r="B6" s="6" t="n">
        <v>40</v>
      </c>
      <c r="C6" s="5" t="s">
        <v>26</v>
      </c>
    </row>
    <row r="7" customFormat="false" ht="15" hidden="false" customHeight="false" outlineLevel="0" collapsed="false">
      <c r="A7" s="5" t="s">
        <v>27</v>
      </c>
      <c r="B7" s="6" t="n">
        <v>750</v>
      </c>
      <c r="C7" s="5" t="s">
        <v>28</v>
      </c>
    </row>
    <row r="8" customFormat="false" ht="26.85" hidden="false" customHeight="false" outlineLevel="0" collapsed="false">
      <c r="A8" s="5" t="s">
        <v>29</v>
      </c>
      <c r="B8" s="6" t="n">
        <v>260</v>
      </c>
      <c r="C8" s="5" t="s">
        <v>30</v>
      </c>
    </row>
    <row r="9" customFormat="false" ht="15" hidden="false" customHeight="false" outlineLevel="0" collapsed="false">
      <c r="A9" s="5" t="s">
        <v>31</v>
      </c>
      <c r="B9" s="6" t="n">
        <v>2000</v>
      </c>
      <c r="C9" s="5" t="s">
        <v>32</v>
      </c>
    </row>
    <row r="10" customFormat="false" ht="15" hidden="false" customHeight="false" outlineLevel="0" collapsed="false">
      <c r="A10" s="5" t="s">
        <v>33</v>
      </c>
      <c r="B10" s="7" t="n">
        <v>0.97</v>
      </c>
      <c r="C10" s="5" t="s">
        <v>34</v>
      </c>
    </row>
    <row r="12" customFormat="false" ht="15" hidden="false" customHeight="false" outlineLevel="0" collapsed="false">
      <c r="A12" s="8" t="s">
        <v>35</v>
      </c>
      <c r="B12" s="9" t="n">
        <f aca="false">B6/B7</f>
        <v>0.0533333333333333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10"/>
    <col collapsed="false" customWidth="true" hidden="false" outlineLevel="0" max="5" min="3" style="0" width="9"/>
    <col collapsed="false" customWidth="true" hidden="false" outlineLevel="0" max="7" min="6" style="0" width="12"/>
    <col collapsed="false" customWidth="true" hidden="false" outlineLevel="0" max="8" min="8" style="0" width="8"/>
    <col collapsed="false" customWidth="true" hidden="false" outlineLevel="0" max="9" min="9" style="0" width="10"/>
    <col collapsed="false" customWidth="true" hidden="false" outlineLevel="0" max="11" min="10" style="0" width="9"/>
    <col collapsed="false" customWidth="true" hidden="false" outlineLevel="0" max="12" min="12" style="0" width="10"/>
    <col collapsed="false" customWidth="true" hidden="false" outlineLevel="0" max="13" min="13" style="0" width="11"/>
    <col collapsed="false" customWidth="true" hidden="false" outlineLevel="0" max="15" min="14" style="0" width="12"/>
    <col collapsed="false" customWidth="true" hidden="false" outlineLevel="0" max="16" min="16" style="0" width="11"/>
    <col collapsed="false" customWidth="true" hidden="false" outlineLevel="0" max="17" min="17" style="0" width="12"/>
  </cols>
  <sheetData>
    <row r="1" customFormat="false" ht="17.35" hidden="false" customHeight="false" outlineLevel="0" collapsed="false">
      <c r="A1" s="1" t="s">
        <v>36</v>
      </c>
    </row>
    <row r="2" customFormat="false" ht="15" hidden="false" customHeight="false" outlineLevel="0" collapsed="false">
      <c r="A2" s="2" t="s">
        <v>37</v>
      </c>
    </row>
    <row r="4" customFormat="false" ht="61.5" hidden="false" customHeight="true" outlineLevel="0" collapsed="false">
      <c r="A4" s="3" t="s">
        <v>38</v>
      </c>
      <c r="B4" s="3" t="s">
        <v>39</v>
      </c>
      <c r="C4" s="3" t="s">
        <v>40</v>
      </c>
      <c r="D4" s="3" t="s">
        <v>41</v>
      </c>
      <c r="E4" s="3" t="s">
        <v>42</v>
      </c>
      <c r="F4" s="3" t="s">
        <v>43</v>
      </c>
      <c r="G4" s="3" t="s">
        <v>44</v>
      </c>
      <c r="H4" s="3" t="s">
        <v>45</v>
      </c>
      <c r="I4" s="3" t="s">
        <v>46</v>
      </c>
      <c r="J4" s="3" t="s">
        <v>47</v>
      </c>
      <c r="K4" s="3" t="s">
        <v>48</v>
      </c>
      <c r="L4" s="3" t="s">
        <v>49</v>
      </c>
      <c r="M4" s="3" t="s">
        <v>50</v>
      </c>
      <c r="N4" s="3" t="s">
        <v>51</v>
      </c>
      <c r="O4" s="3" t="s">
        <v>52</v>
      </c>
      <c r="P4" s="3" t="s">
        <v>53</v>
      </c>
      <c r="Q4" s="3" t="s">
        <v>54</v>
      </c>
    </row>
    <row r="5" customFormat="false" ht="15" hidden="false" customHeight="false" outlineLevel="0" collapsed="false">
      <c r="A5" s="5" t="s">
        <v>55</v>
      </c>
      <c r="B5" s="10" t="n">
        <v>713</v>
      </c>
      <c r="C5" s="10" t="n">
        <v>22</v>
      </c>
      <c r="D5" s="10" t="n">
        <v>38</v>
      </c>
      <c r="E5" s="10" t="n">
        <v>12</v>
      </c>
      <c r="F5" s="6" t="n">
        <v>18174</v>
      </c>
      <c r="G5" s="10" t="n">
        <v>26</v>
      </c>
      <c r="H5" s="10" t="n">
        <v>0.892</v>
      </c>
      <c r="I5" s="11" t="n">
        <f aca="false">E5/C5</f>
        <v>0.545454545454545</v>
      </c>
      <c r="J5" s="12" t="n">
        <v>0.423</v>
      </c>
      <c r="K5" s="12" t="n">
        <v>0.765</v>
      </c>
      <c r="L5" s="11" t="n">
        <f aca="false">E5/D5</f>
        <v>0.315789473684211</v>
      </c>
      <c r="M5" s="13" t="n">
        <f aca="false">G5*Assumptions!$B$5</f>
        <v>9880</v>
      </c>
      <c r="N5" s="14" t="n">
        <f aca="false">F5-M5</f>
        <v>8294</v>
      </c>
      <c r="O5" s="14" t="n">
        <f aca="false">N5/D5</f>
        <v>218.263157894737</v>
      </c>
      <c r="P5" s="15" t="n">
        <f aca="false">1-(G5+C5-E5)/B5</f>
        <v>0.949509116409537</v>
      </c>
      <c r="Q5" s="15" t="n">
        <f aca="false">1-C5/B5</f>
        <v>0.969144460028051</v>
      </c>
    </row>
    <row r="6" customFormat="false" ht="15" hidden="false" customHeight="false" outlineLevel="0" collapsed="false">
      <c r="A6" s="5" t="s">
        <v>56</v>
      </c>
      <c r="B6" s="10" t="n">
        <v>1095</v>
      </c>
      <c r="C6" s="10" t="n">
        <v>31</v>
      </c>
      <c r="D6" s="10" t="n">
        <v>58</v>
      </c>
      <c r="E6" s="10" t="n">
        <v>14</v>
      </c>
      <c r="F6" s="6" t="n">
        <v>24050</v>
      </c>
      <c r="G6" s="10" t="n">
        <v>44</v>
      </c>
      <c r="H6" s="10" t="n">
        <v>0.879</v>
      </c>
      <c r="I6" s="11" t="n">
        <f aca="false">E6/C6</f>
        <v>0.451612903225806</v>
      </c>
      <c r="J6" s="12" t="n">
        <v>0.333</v>
      </c>
      <c r="K6" s="12" t="n">
        <v>0.613</v>
      </c>
      <c r="L6" s="11" t="n">
        <f aca="false">E6/D6</f>
        <v>0.241379310344828</v>
      </c>
      <c r="M6" s="13" t="n">
        <f aca="false">G6*Assumptions!$B$5</f>
        <v>16720</v>
      </c>
      <c r="N6" s="14" t="n">
        <f aca="false">F6-M6</f>
        <v>7330</v>
      </c>
      <c r="O6" s="14" t="n">
        <f aca="false">N6/D6</f>
        <v>126.379310344828</v>
      </c>
      <c r="P6" s="15" t="n">
        <f aca="false">1-(G6+C6-E6)/B6</f>
        <v>0.944292237442922</v>
      </c>
      <c r="Q6" s="15" t="n">
        <f aca="false">1-C6/B6</f>
        <v>0.971689497716895</v>
      </c>
    </row>
    <row r="7" customFormat="false" ht="26.85" hidden="false" customHeight="false" outlineLevel="0" collapsed="false">
      <c r="A7" s="5" t="s">
        <v>57</v>
      </c>
      <c r="B7" s="10" t="n">
        <v>1422</v>
      </c>
      <c r="C7" s="10" t="n">
        <v>36</v>
      </c>
      <c r="D7" s="10" t="n">
        <v>76</v>
      </c>
      <c r="E7" s="10" t="n">
        <v>0</v>
      </c>
      <c r="F7" s="6" t="n">
        <v>0</v>
      </c>
      <c r="G7" s="10" t="n">
        <v>76</v>
      </c>
      <c r="H7" s="10" t="n">
        <v>0.184</v>
      </c>
      <c r="I7" s="11" t="n">
        <f aca="false">E7/C7</f>
        <v>0</v>
      </c>
      <c r="J7" s="12" t="n">
        <v>0</v>
      </c>
      <c r="K7" s="12" t="n">
        <v>0</v>
      </c>
      <c r="L7" s="11" t="n">
        <f aca="false">E7/D7</f>
        <v>0</v>
      </c>
      <c r="M7" s="13" t="n">
        <f aca="false">G7*Assumptions!$B$5</f>
        <v>28880</v>
      </c>
      <c r="N7" s="14" t="n">
        <f aca="false">F7-M7</f>
        <v>-28880</v>
      </c>
      <c r="O7" s="14" t="n">
        <f aca="false">N7/D7</f>
        <v>-380</v>
      </c>
      <c r="P7" s="15" t="n">
        <f aca="false">1-(G7+C7-E7)/B7</f>
        <v>0.921237693389592</v>
      </c>
      <c r="Q7" s="15" t="n">
        <f aca="false">1-C7/B7</f>
        <v>0.974683544303797</v>
      </c>
    </row>
    <row r="9" customFormat="false" ht="15.75" hidden="false" customHeight="true" outlineLevel="0" collapsed="false">
      <c r="A9" s="16" t="s">
        <v>58</v>
      </c>
      <c r="B9" s="16"/>
      <c r="C9" s="16"/>
      <c r="D9" s="16"/>
      <c r="E9" s="16"/>
      <c r="F9" s="16"/>
      <c r="G9" s="16"/>
      <c r="H9" s="16"/>
      <c r="I9" s="16"/>
      <c r="J9" s="16"/>
      <c r="K9" s="16"/>
      <c r="L9" s="16"/>
    </row>
    <row r="10" customFormat="false" ht="31.5" hidden="false" customHeight="true" outlineLevel="0" collapsed="false">
      <c r="A10" s="17" t="s">
        <v>59</v>
      </c>
      <c r="B10" s="17"/>
      <c r="C10" s="17"/>
      <c r="D10" s="17"/>
      <c r="E10" s="17"/>
      <c r="F10" s="17"/>
      <c r="G10" s="17"/>
      <c r="H10" s="17"/>
      <c r="I10" s="17"/>
      <c r="J10" s="17"/>
      <c r="K10" s="17"/>
      <c r="L10" s="17"/>
    </row>
    <row r="11" customFormat="false" ht="31.5" hidden="false" customHeight="true" outlineLevel="0" collapsed="false">
      <c r="A11" s="17" t="s">
        <v>60</v>
      </c>
      <c r="B11" s="17"/>
      <c r="C11" s="17"/>
      <c r="D11" s="17"/>
      <c r="E11" s="17"/>
      <c r="F11" s="17"/>
      <c r="G11" s="17"/>
      <c r="H11" s="17"/>
      <c r="I11" s="17"/>
      <c r="J11" s="17"/>
      <c r="K11" s="17"/>
      <c r="L11" s="17"/>
    </row>
    <row r="12" customFormat="false" ht="31.5" hidden="false" customHeight="true" outlineLevel="0" collapsed="false">
      <c r="A12" s="17" t="s">
        <v>61</v>
      </c>
      <c r="B12" s="17"/>
      <c r="C12" s="17"/>
      <c r="D12" s="17"/>
      <c r="E12" s="17"/>
      <c r="F12" s="17"/>
      <c r="G12" s="17"/>
      <c r="H12" s="17"/>
      <c r="I12" s="17"/>
      <c r="J12" s="17"/>
      <c r="K12" s="17"/>
      <c r="L12" s="17"/>
    </row>
    <row r="13" customFormat="false" ht="31.5" hidden="false" customHeight="true" outlineLevel="0" collapsed="false">
      <c r="A13" s="17" t="s">
        <v>62</v>
      </c>
      <c r="B13" s="17"/>
      <c r="C13" s="17"/>
      <c r="D13" s="17"/>
      <c r="E13" s="17"/>
      <c r="F13" s="17"/>
      <c r="G13" s="17"/>
      <c r="H13" s="17"/>
      <c r="I13" s="17"/>
      <c r="J13" s="17"/>
      <c r="K13" s="17"/>
      <c r="L13" s="17"/>
    </row>
  </sheetData>
  <mergeCells count="5">
    <mergeCell ref="A9:L9"/>
    <mergeCell ref="A10:L10"/>
    <mergeCell ref="A11:L11"/>
    <mergeCell ref="A12:L12"/>
    <mergeCell ref="A13:L1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6"/>
    <col collapsed="false" customWidth="true" hidden="false" outlineLevel="0" max="2" min="2" style="0" width="22"/>
    <col collapsed="false" customWidth="true" hidden="false" outlineLevel="0" max="3" min="3" style="0" width="15"/>
    <col collapsed="false" customWidth="true" hidden="false" outlineLevel="0" max="4" min="4" style="0" width="12"/>
    <col collapsed="false" customWidth="true" hidden="false" outlineLevel="0" max="5" min="5" style="0" width="14"/>
    <col collapsed="false" customWidth="true" hidden="false" outlineLevel="0" max="6" min="6" style="0" width="13"/>
  </cols>
  <sheetData>
    <row r="1" customFormat="false" ht="17.35" hidden="false" customHeight="false" outlineLevel="0" collapsed="false">
      <c r="A1" s="1" t="s">
        <v>63</v>
      </c>
    </row>
    <row r="2" customFormat="false" ht="15" hidden="false" customHeight="false" outlineLevel="0" collapsed="false">
      <c r="A2" s="2" t="s">
        <v>64</v>
      </c>
    </row>
    <row r="4" customFormat="false" ht="15" hidden="false" customHeight="false" outlineLevel="0" collapsed="false">
      <c r="A4" s="3" t="s">
        <v>65</v>
      </c>
      <c r="B4" s="3" t="s">
        <v>66</v>
      </c>
      <c r="C4" s="3" t="s">
        <v>67</v>
      </c>
      <c r="D4" s="3" t="s">
        <v>68</v>
      </c>
    </row>
    <row r="5" customFormat="false" ht="15" hidden="false" customHeight="false" outlineLevel="0" collapsed="false">
      <c r="A5" s="5" t="s">
        <v>69</v>
      </c>
      <c r="B5" s="6" t="n">
        <v>9454</v>
      </c>
      <c r="C5" s="10" t="n">
        <v>105</v>
      </c>
      <c r="D5" s="15" t="n">
        <f aca="false">C5/B5</f>
        <v>0.0111064099851915</v>
      </c>
    </row>
    <row r="6" customFormat="false" ht="15" hidden="false" customHeight="false" outlineLevel="0" collapsed="false">
      <c r="A6" s="5" t="s">
        <v>70</v>
      </c>
      <c r="B6" s="6" t="n">
        <v>270</v>
      </c>
      <c r="C6" s="10" t="n">
        <v>0</v>
      </c>
      <c r="D6" s="15" t="n">
        <f aca="false">C6/B6</f>
        <v>0</v>
      </c>
    </row>
    <row r="7" customFormat="false" ht="15" hidden="false" customHeight="false" outlineLevel="0" collapsed="false">
      <c r="A7" s="5" t="s">
        <v>71</v>
      </c>
      <c r="B7" s="6" t="n">
        <v>1211</v>
      </c>
      <c r="C7" s="10" t="n">
        <v>2</v>
      </c>
      <c r="D7" s="15" t="n">
        <f aca="false">C7/B7</f>
        <v>0.00165152766308836</v>
      </c>
    </row>
    <row r="8" customFormat="false" ht="15" hidden="false" customHeight="false" outlineLevel="0" collapsed="false">
      <c r="A8" s="5" t="s">
        <v>72</v>
      </c>
      <c r="B8" s="6" t="n">
        <v>211</v>
      </c>
      <c r="C8" s="10" t="n">
        <v>34</v>
      </c>
      <c r="D8" s="15" t="n">
        <f aca="false">C8/B8</f>
        <v>0.161137440758294</v>
      </c>
    </row>
    <row r="9" customFormat="false" ht="15" hidden="false" customHeight="false" outlineLevel="0" collapsed="false">
      <c r="A9" s="5" t="s">
        <v>73</v>
      </c>
      <c r="B9" s="6" t="n">
        <v>5934</v>
      </c>
      <c r="C9" s="10" t="n">
        <v>32</v>
      </c>
      <c r="D9" s="15" t="n">
        <f aca="false">C9/B9</f>
        <v>0.00539265251095383</v>
      </c>
    </row>
    <row r="10" customFormat="false" ht="15" hidden="false" customHeight="false" outlineLevel="0" collapsed="false">
      <c r="A10" s="5" t="s">
        <v>74</v>
      </c>
      <c r="B10" s="6" t="n">
        <v>3790</v>
      </c>
      <c r="C10" s="10" t="n">
        <v>73</v>
      </c>
      <c r="D10" s="15" t="n">
        <f aca="false">C10/B10</f>
        <v>0.0192612137203166</v>
      </c>
    </row>
    <row r="11" customFormat="false" ht="15" hidden="false" customHeight="false" outlineLevel="0" collapsed="false">
      <c r="A11" s="5" t="s">
        <v>75</v>
      </c>
      <c r="B11" s="6" t="n">
        <v>1085</v>
      </c>
      <c r="C11" s="10" t="n">
        <v>35</v>
      </c>
      <c r="D11" s="15" t="n">
        <f aca="false">C11/B11</f>
        <v>0.032258064516129</v>
      </c>
    </row>
    <row r="12" customFormat="false" ht="15" hidden="false" customHeight="false" outlineLevel="0" collapsed="false">
      <c r="A12" s="5" t="s">
        <v>76</v>
      </c>
      <c r="B12" s="6" t="n">
        <v>337</v>
      </c>
      <c r="C12" s="10" t="n">
        <v>1</v>
      </c>
      <c r="D12" s="15" t="n">
        <f aca="false">C12/B12</f>
        <v>0.0029673590504451</v>
      </c>
    </row>
    <row r="13" customFormat="false" ht="15" hidden="false" customHeight="false" outlineLevel="0" collapsed="false">
      <c r="A13" s="5" t="s">
        <v>77</v>
      </c>
      <c r="B13" s="6" t="n">
        <v>1112</v>
      </c>
      <c r="C13" s="10" t="n">
        <v>35</v>
      </c>
      <c r="D13" s="15" t="n">
        <f aca="false">C13/B13</f>
        <v>0.0314748201438849</v>
      </c>
    </row>
    <row r="14" customFormat="false" ht="15" hidden="false" customHeight="false" outlineLevel="0" collapsed="false">
      <c r="A14" s="5" t="s">
        <v>78</v>
      </c>
      <c r="B14" s="6" t="n">
        <v>310</v>
      </c>
      <c r="C14" s="10" t="n">
        <v>1</v>
      </c>
      <c r="D14" s="15" t="n">
        <f aca="false">C14/B14</f>
        <v>0.0032258064516129</v>
      </c>
    </row>
    <row r="16" customFormat="false" ht="15" hidden="false" customHeight="false" outlineLevel="0" collapsed="false">
      <c r="A16" s="4" t="s">
        <v>79</v>
      </c>
      <c r="B16" s="13" t="n">
        <f aca="false">B5+B6+B7+B8</f>
        <v>11146</v>
      </c>
      <c r="C16" s="5" t="n">
        <f aca="false">C5+C6+C7+C8</f>
        <v>141</v>
      </c>
      <c r="D16" s="15" t="n">
        <f aca="false">C16/B16</f>
        <v>0.0126502781266822</v>
      </c>
    </row>
    <row r="18" customFormat="false" ht="15" hidden="false" customHeight="false" outlineLevel="0" collapsed="false">
      <c r="A18" s="8" t="s">
        <v>80</v>
      </c>
    </row>
    <row r="19" customFormat="false" ht="26.85" hidden="false" customHeight="false" outlineLevel="0" collapsed="false">
      <c r="A19" s="3" t="s">
        <v>81</v>
      </c>
      <c r="B19" s="3" t="s">
        <v>82</v>
      </c>
      <c r="C19" s="3" t="s">
        <v>83</v>
      </c>
      <c r="D19" s="3" t="s">
        <v>68</v>
      </c>
      <c r="E19" s="3" t="s">
        <v>84</v>
      </c>
      <c r="F19" s="3" t="s">
        <v>85</v>
      </c>
    </row>
    <row r="20" customFormat="false" ht="15" hidden="false" customHeight="false" outlineLevel="0" collapsed="false">
      <c r="A20" s="5" t="s">
        <v>86</v>
      </c>
      <c r="B20" s="10" t="n">
        <v>12</v>
      </c>
      <c r="C20" s="10" t="n">
        <v>10</v>
      </c>
      <c r="D20" s="11" t="n">
        <f aca="false">C20/B20</f>
        <v>0.833333333333333</v>
      </c>
      <c r="E20" s="5" t="s">
        <v>87</v>
      </c>
      <c r="F20" s="5" t="s">
        <v>88</v>
      </c>
    </row>
    <row r="21" customFormat="false" ht="15" hidden="false" customHeight="false" outlineLevel="0" collapsed="false">
      <c r="A21" s="5" t="s">
        <v>89</v>
      </c>
      <c r="B21" s="10" t="n">
        <v>12</v>
      </c>
      <c r="C21" s="10" t="n">
        <v>7</v>
      </c>
      <c r="D21" s="11" t="n">
        <f aca="false">C21/B21</f>
        <v>0.583333333333333</v>
      </c>
      <c r="E21" s="5" t="s">
        <v>90</v>
      </c>
      <c r="F21" s="5" t="s">
        <v>91</v>
      </c>
    </row>
    <row r="22" customFormat="false" ht="15" hidden="false" customHeight="false" outlineLevel="0" collapsed="false">
      <c r="A22" s="5" t="s">
        <v>92</v>
      </c>
      <c r="B22" s="10" t="n">
        <v>13</v>
      </c>
      <c r="C22" s="10" t="n">
        <v>5</v>
      </c>
      <c r="D22" s="11" t="n">
        <f aca="false">C22/B22</f>
        <v>0.384615384615385</v>
      </c>
      <c r="E22" s="5" t="s">
        <v>93</v>
      </c>
      <c r="F22" s="5" t="s">
        <v>94</v>
      </c>
    </row>
    <row r="23" customFormat="false" ht="15" hidden="false" customHeight="false" outlineLevel="0" collapsed="false">
      <c r="A23" s="5" t="s">
        <v>95</v>
      </c>
      <c r="B23" s="10" t="n">
        <v>9</v>
      </c>
      <c r="C23" s="10" t="n">
        <v>4</v>
      </c>
      <c r="D23" s="11" t="n">
        <f aca="false">C23/B23</f>
        <v>0.444444444444444</v>
      </c>
      <c r="E23" s="5" t="s">
        <v>96</v>
      </c>
      <c r="F23" s="5" t="s">
        <v>97</v>
      </c>
    </row>
    <row r="24" customFormat="false" ht="15" hidden="false" customHeight="false" outlineLevel="0" collapsed="false">
      <c r="A24" s="5" t="s">
        <v>98</v>
      </c>
      <c r="B24" s="10" t="n">
        <v>8</v>
      </c>
      <c r="C24" s="10" t="n">
        <v>3</v>
      </c>
      <c r="D24" s="11" t="n">
        <f aca="false">C24/B24</f>
        <v>0.375</v>
      </c>
      <c r="E24" s="5" t="s">
        <v>99</v>
      </c>
      <c r="F24" s="5" t="s">
        <v>100</v>
      </c>
    </row>
    <row r="25" customFormat="false" ht="15" hidden="false" customHeight="false" outlineLevel="0" collapsed="false">
      <c r="A25" s="5" t="s">
        <v>101</v>
      </c>
      <c r="B25" s="10" t="n">
        <v>2</v>
      </c>
      <c r="C25" s="10" t="n">
        <v>2</v>
      </c>
      <c r="D25" s="11" t="n">
        <f aca="false">C25/B25</f>
        <v>1</v>
      </c>
      <c r="E25" s="5" t="s">
        <v>87</v>
      </c>
      <c r="F25" s="5" t="s">
        <v>102</v>
      </c>
    </row>
    <row r="26" customFormat="false" ht="15" hidden="false" customHeight="false" outlineLevel="0" collapsed="false">
      <c r="A26" s="5" t="s">
        <v>103</v>
      </c>
      <c r="B26" s="10" t="n">
        <v>2</v>
      </c>
      <c r="C26" s="10" t="n">
        <v>2</v>
      </c>
      <c r="D26" s="11" t="n">
        <f aca="false">C26/B26</f>
        <v>1</v>
      </c>
      <c r="E26" s="5" t="s">
        <v>104</v>
      </c>
      <c r="F26" s="5" t="s">
        <v>105</v>
      </c>
    </row>
    <row r="27" customFormat="false" ht="15" hidden="false" customHeight="false" outlineLevel="0" collapsed="false">
      <c r="A27" s="4" t="s">
        <v>106</v>
      </c>
      <c r="B27" s="5" t="n">
        <f aca="false">SUM(B20:B26)</f>
        <v>58</v>
      </c>
      <c r="C27" s="5" t="n">
        <f aca="false">SUM(C20:C26)</f>
        <v>33</v>
      </c>
      <c r="D27" s="11" t="n">
        <f aca="false">C27/B27</f>
        <v>0.568965517241379</v>
      </c>
    </row>
    <row r="28" customFormat="false" ht="15" hidden="false" customHeight="false" outlineLevel="0" collapsed="false">
      <c r="A28" s="4" t="s">
        <v>107</v>
      </c>
      <c r="B28" s="5" t="n">
        <f aca="false">211-B27</f>
        <v>153</v>
      </c>
      <c r="C28" s="5" t="n">
        <f aca="false">34-C27</f>
        <v>1</v>
      </c>
      <c r="D28" s="15" t="n">
        <f aca="false">C28/B28</f>
        <v>0.0065359477124183</v>
      </c>
    </row>
    <row r="30" customFormat="false" ht="15" hidden="false" customHeight="false" outlineLevel="0" collapsed="false">
      <c r="A30" s="18" t="s">
        <v>108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6"/>
    <col collapsed="false" customWidth="true" hidden="false" outlineLevel="0" max="3" min="3" style="0" width="18"/>
    <col collapsed="false" customWidth="true" hidden="false" outlineLevel="0" max="5" min="4" style="0" width="14"/>
  </cols>
  <sheetData>
    <row r="1" customFormat="false" ht="17.35" hidden="false" customHeight="false" outlineLevel="0" collapsed="false">
      <c r="A1" s="1" t="s">
        <v>109</v>
      </c>
    </row>
    <row r="2" customFormat="false" ht="15" hidden="false" customHeight="false" outlineLevel="0" collapsed="false">
      <c r="A2" s="2" t="s">
        <v>110</v>
      </c>
    </row>
    <row r="4" customFormat="false" ht="26.85" hidden="false" customHeight="false" outlineLevel="0" collapsed="false">
      <c r="A4" s="3" t="s">
        <v>111</v>
      </c>
      <c r="B4" s="3" t="s">
        <v>66</v>
      </c>
      <c r="C4" s="3" t="s">
        <v>112</v>
      </c>
    </row>
    <row r="5" customFormat="false" ht="15" hidden="false" customHeight="false" outlineLevel="0" collapsed="false">
      <c r="A5" s="5" t="s">
        <v>113</v>
      </c>
      <c r="B5" s="6" t="n">
        <v>786</v>
      </c>
      <c r="C5" s="10" t="n">
        <v>39</v>
      </c>
    </row>
    <row r="6" customFormat="false" ht="15" hidden="false" customHeight="false" outlineLevel="0" collapsed="false">
      <c r="A6" s="5" t="s">
        <v>114</v>
      </c>
      <c r="B6" s="6" t="n">
        <v>730</v>
      </c>
      <c r="C6" s="10" t="n">
        <v>37</v>
      </c>
    </row>
    <row r="7" customFormat="false" ht="15" hidden="false" customHeight="false" outlineLevel="0" collapsed="false">
      <c r="A7" s="5" t="s">
        <v>115</v>
      </c>
      <c r="B7" s="6" t="n">
        <v>736</v>
      </c>
      <c r="C7" s="10" t="n">
        <v>45</v>
      </c>
    </row>
    <row r="8" customFormat="false" ht="15" hidden="false" customHeight="false" outlineLevel="0" collapsed="false">
      <c r="A8" s="4" t="s">
        <v>116</v>
      </c>
      <c r="B8" s="5" t="n">
        <f aca="false">SUM(B5:B7)</f>
        <v>2252</v>
      </c>
      <c r="C8" s="5" t="n">
        <f aca="false">SUM(C5:C7)</f>
        <v>121</v>
      </c>
    </row>
    <row r="10" customFormat="false" ht="15" hidden="false" customHeight="false" outlineLevel="0" collapsed="false">
      <c r="A10" s="3" t="s">
        <v>81</v>
      </c>
      <c r="B10" s="3" t="s">
        <v>117</v>
      </c>
      <c r="C10" s="3" t="s">
        <v>118</v>
      </c>
      <c r="D10" s="3" t="s">
        <v>84</v>
      </c>
      <c r="E10" s="3" t="s">
        <v>85</v>
      </c>
    </row>
    <row r="11" customFormat="false" ht="15" hidden="false" customHeight="false" outlineLevel="0" collapsed="false">
      <c r="A11" s="5" t="s">
        <v>101</v>
      </c>
      <c r="B11" s="10" t="n">
        <v>17</v>
      </c>
      <c r="C11" s="11" t="n">
        <f aca="false">B11/$C$8</f>
        <v>0.140495867768595</v>
      </c>
      <c r="D11" s="5" t="s">
        <v>87</v>
      </c>
      <c r="E11" s="5" t="s">
        <v>102</v>
      </c>
    </row>
    <row r="12" customFormat="false" ht="15" hidden="false" customHeight="false" outlineLevel="0" collapsed="false">
      <c r="A12" s="5" t="s">
        <v>103</v>
      </c>
      <c r="B12" s="10" t="n">
        <v>17</v>
      </c>
      <c r="C12" s="11" t="n">
        <f aca="false">B12/$C$8</f>
        <v>0.140495867768595</v>
      </c>
      <c r="D12" s="5" t="s">
        <v>104</v>
      </c>
      <c r="E12" s="5" t="s">
        <v>105</v>
      </c>
    </row>
    <row r="13" customFormat="false" ht="15" hidden="false" customHeight="false" outlineLevel="0" collapsed="false">
      <c r="A13" s="5" t="s">
        <v>92</v>
      </c>
      <c r="B13" s="10" t="n">
        <v>15</v>
      </c>
      <c r="C13" s="11" t="n">
        <f aca="false">B13/$C$8</f>
        <v>0.12396694214876</v>
      </c>
      <c r="D13" s="5" t="s">
        <v>93</v>
      </c>
      <c r="E13" s="5" t="s">
        <v>94</v>
      </c>
    </row>
    <row r="14" customFormat="false" ht="15" hidden="false" customHeight="false" outlineLevel="0" collapsed="false">
      <c r="A14" s="5" t="s">
        <v>95</v>
      </c>
      <c r="B14" s="10" t="n">
        <v>14</v>
      </c>
      <c r="C14" s="11" t="n">
        <f aca="false">B14/$C$8</f>
        <v>0.115702479338843</v>
      </c>
      <c r="D14" s="5" t="s">
        <v>96</v>
      </c>
      <c r="E14" s="5" t="s">
        <v>97</v>
      </c>
    </row>
    <row r="15" customFormat="false" ht="15" hidden="false" customHeight="false" outlineLevel="0" collapsed="false">
      <c r="A15" s="5" t="s">
        <v>86</v>
      </c>
      <c r="B15" s="10" t="n">
        <v>13</v>
      </c>
      <c r="C15" s="11" t="n">
        <f aca="false">B15/$C$8</f>
        <v>0.107438016528926</v>
      </c>
      <c r="D15" s="5" t="s">
        <v>87</v>
      </c>
      <c r="E15" s="5" t="s">
        <v>88</v>
      </c>
    </row>
    <row r="16" customFormat="false" ht="15" hidden="false" customHeight="false" outlineLevel="0" collapsed="false">
      <c r="A16" s="5" t="s">
        <v>89</v>
      </c>
      <c r="B16" s="10" t="n">
        <v>11</v>
      </c>
      <c r="C16" s="11" t="n">
        <f aca="false">B16/$C$8</f>
        <v>0.0909090909090909</v>
      </c>
      <c r="D16" s="5" t="s">
        <v>90</v>
      </c>
      <c r="E16" s="5" t="s">
        <v>91</v>
      </c>
    </row>
    <row r="17" customFormat="false" ht="15" hidden="false" customHeight="false" outlineLevel="0" collapsed="false">
      <c r="A17" s="5" t="s">
        <v>98</v>
      </c>
      <c r="B17" s="10" t="n">
        <v>10</v>
      </c>
      <c r="C17" s="11" t="n">
        <f aca="false">B17/$C$8</f>
        <v>0.0826446280991736</v>
      </c>
      <c r="D17" s="5" t="s">
        <v>99</v>
      </c>
      <c r="E17" s="5" t="s">
        <v>100</v>
      </c>
    </row>
    <row r="18" customFormat="false" ht="15" hidden="false" customHeight="false" outlineLevel="0" collapsed="false">
      <c r="A18" s="4" t="s">
        <v>106</v>
      </c>
      <c r="B18" s="5" t="n">
        <f aca="false">SUM(B11:B17)</f>
        <v>97</v>
      </c>
      <c r="C18" s="11" t="n">
        <f aca="false">B18/$C$8</f>
        <v>0.801652892561984</v>
      </c>
    </row>
    <row r="20" customFormat="false" ht="45" hidden="false" customHeight="true" outlineLevel="0" collapsed="false">
      <c r="A20" s="19" t="s">
        <v>119</v>
      </c>
      <c r="B20" s="19"/>
      <c r="C20" s="19"/>
      <c r="D20" s="19"/>
      <c r="E20" s="19"/>
    </row>
  </sheetData>
  <mergeCells count="1">
    <mergeCell ref="A20:E2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2"/>
    <col collapsed="false" customWidth="true" hidden="false" outlineLevel="0" max="2" min="2" style="0" width="26"/>
    <col collapsed="false" customWidth="true" hidden="false" outlineLevel="0" max="3" min="3" style="0" width="18"/>
  </cols>
  <sheetData>
    <row r="1" customFormat="false" ht="17.35" hidden="false" customHeight="false" outlineLevel="0" collapsed="false">
      <c r="A1" s="1" t="s">
        <v>120</v>
      </c>
    </row>
    <row r="2" customFormat="false" ht="15" hidden="false" customHeight="false" outlineLevel="0" collapsed="false">
      <c r="A2" s="2" t="s">
        <v>121</v>
      </c>
    </row>
    <row r="5" customFormat="false" ht="15" hidden="false" customHeight="false" outlineLevel="0" collapsed="false">
      <c r="A5" s="5" t="s">
        <v>122</v>
      </c>
      <c r="B5" s="13" t="n">
        <f aca="false">Assumptions!B6</f>
        <v>40</v>
      </c>
    </row>
    <row r="6" customFormat="false" ht="15" hidden="false" customHeight="false" outlineLevel="0" collapsed="false">
      <c r="A6" s="5" t="s">
        <v>123</v>
      </c>
      <c r="B6" s="20" t="n">
        <v>1500</v>
      </c>
      <c r="C6" s="2" t="s">
        <v>124</v>
      </c>
    </row>
    <row r="7" customFormat="false" ht="15" hidden="false" customHeight="false" outlineLevel="0" collapsed="false">
      <c r="A7" s="5" t="s">
        <v>125</v>
      </c>
      <c r="B7" s="21" t="n">
        <v>0.28</v>
      </c>
      <c r="C7" s="2" t="s">
        <v>126</v>
      </c>
    </row>
    <row r="9" customFormat="false" ht="15" hidden="false" customHeight="false" outlineLevel="0" collapsed="false">
      <c r="A9" s="4" t="s">
        <v>127</v>
      </c>
      <c r="B9" s="13" t="n">
        <f aca="false">B5*B7*B6</f>
        <v>16800</v>
      </c>
    </row>
    <row r="10" customFormat="false" ht="15" hidden="false" customHeight="false" outlineLevel="0" collapsed="false">
      <c r="A10" s="4" t="s">
        <v>128</v>
      </c>
      <c r="B10" s="13" t="n">
        <f aca="false">B5*(1-B7)*Assumptions!B5</f>
        <v>10944</v>
      </c>
    </row>
    <row r="11" customFormat="false" ht="15" hidden="false" customHeight="false" outlineLevel="0" collapsed="false">
      <c r="A11" s="4" t="s">
        <v>129</v>
      </c>
      <c r="B11" s="14" t="n">
        <f aca="false">B9-B10</f>
        <v>5856</v>
      </c>
    </row>
    <row r="12" customFormat="false" ht="15" hidden="false" customHeight="false" outlineLevel="0" collapsed="false">
      <c r="A12" s="4" t="s">
        <v>130</v>
      </c>
      <c r="B12" s="14" t="n">
        <f aca="false">B11/B5</f>
        <v>146.4</v>
      </c>
    </row>
    <row r="13" customFormat="false" ht="15" hidden="false" customHeight="false" outlineLevel="0" collapsed="false">
      <c r="A13" s="4" t="s">
        <v>131</v>
      </c>
      <c r="B13" s="11" t="n">
        <f aca="false">Assumptions!B5/(B6+Assumptions!B5)</f>
        <v>0.202127659574468</v>
      </c>
    </row>
    <row r="15" customFormat="false" ht="15" hidden="false" customHeight="false" outlineLevel="0" collapsed="false">
      <c r="A15" s="3" t="s">
        <v>132</v>
      </c>
      <c r="B15" s="3" t="s">
        <v>52</v>
      </c>
      <c r="C15" s="3" t="s">
        <v>133</v>
      </c>
    </row>
    <row r="16" customFormat="false" ht="15" hidden="false" customHeight="false" outlineLevel="0" collapsed="false">
      <c r="A16" s="12" t="n">
        <v>0.1</v>
      </c>
      <c r="B16" s="14" t="n">
        <f aca="false">A16*$B$6-(1-A16)*Assumptions!$B$5</f>
        <v>-192</v>
      </c>
      <c r="C16" s="14" t="n">
        <f aca="false">B16*$B$5</f>
        <v>-7680</v>
      </c>
    </row>
    <row r="17" customFormat="false" ht="15" hidden="false" customHeight="false" outlineLevel="0" collapsed="false">
      <c r="A17" s="12" t="n">
        <v>0.2</v>
      </c>
      <c r="B17" s="14" t="n">
        <f aca="false">A17*$B$6-(1-A17)*Assumptions!$B$5</f>
        <v>-4</v>
      </c>
      <c r="C17" s="14" t="n">
        <f aca="false">B17*$B$5</f>
        <v>-160</v>
      </c>
    </row>
    <row r="18" customFormat="false" ht="15" hidden="false" customHeight="false" outlineLevel="0" collapsed="false">
      <c r="A18" s="12" t="n">
        <v>0.25</v>
      </c>
      <c r="B18" s="14" t="n">
        <f aca="false">A18*$B$6-(1-A18)*Assumptions!$B$5</f>
        <v>90</v>
      </c>
      <c r="C18" s="14" t="n">
        <f aca="false">B18*$B$5</f>
        <v>3600</v>
      </c>
    </row>
    <row r="19" customFormat="false" ht="15" hidden="false" customHeight="false" outlineLevel="0" collapsed="false">
      <c r="A19" s="12" t="n">
        <v>0.3</v>
      </c>
      <c r="B19" s="14" t="n">
        <f aca="false">A19*$B$6-(1-A19)*Assumptions!$B$5</f>
        <v>184</v>
      </c>
      <c r="C19" s="14" t="n">
        <f aca="false">B19*$B$5</f>
        <v>7360</v>
      </c>
    </row>
    <row r="20" customFormat="false" ht="15" hidden="false" customHeight="false" outlineLevel="0" collapsed="false">
      <c r="A20" s="12" t="n">
        <v>0.4</v>
      </c>
      <c r="B20" s="14" t="n">
        <f aca="false">A20*$B$6-(1-A20)*Assumptions!$B$5</f>
        <v>372</v>
      </c>
      <c r="C20" s="14" t="n">
        <f aca="false">B20*$B$5</f>
        <v>14880</v>
      </c>
    </row>
    <row r="21" customFormat="false" ht="15" hidden="false" customHeight="false" outlineLevel="0" collapsed="false">
      <c r="A21" s="12" t="n">
        <v>0.5</v>
      </c>
      <c r="B21" s="14" t="n">
        <f aca="false">A21*$B$6-(1-A21)*Assumptions!$B$5</f>
        <v>560</v>
      </c>
      <c r="C21" s="14" t="n">
        <f aca="false">B21*$B$5</f>
        <v>22400</v>
      </c>
    </row>
    <row r="22" customFormat="false" ht="15" hidden="false" customHeight="false" outlineLevel="0" collapsed="false">
      <c r="A22" s="12" t="n">
        <v>0.6</v>
      </c>
      <c r="B22" s="14" t="n">
        <f aca="false">A22*$B$6-(1-A22)*Assumptions!$B$5</f>
        <v>748</v>
      </c>
      <c r="C22" s="14" t="n">
        <f aca="false">B22*$B$5</f>
        <v>29920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3" min="2" style="0" width="60"/>
    <col collapsed="false" customWidth="true" hidden="false" outlineLevel="0" max="4" min="4" style="0" width="44"/>
  </cols>
  <sheetData>
    <row r="1" customFormat="false" ht="17.35" hidden="false" customHeight="false" outlineLevel="0" collapsed="false">
      <c r="A1" s="1" t="s">
        <v>134</v>
      </c>
    </row>
    <row r="3" customFormat="false" ht="15" hidden="false" customHeight="false" outlineLevel="0" collapsed="false">
      <c r="A3" s="3" t="s">
        <v>135</v>
      </c>
      <c r="B3" s="3" t="s">
        <v>136</v>
      </c>
      <c r="C3" s="3" t="s">
        <v>137</v>
      </c>
      <c r="D3" s="3" t="s">
        <v>138</v>
      </c>
    </row>
    <row r="4" customFormat="false" ht="61.5" hidden="false" customHeight="true" outlineLevel="0" collapsed="false">
      <c r="A4" s="5" t="s">
        <v>139</v>
      </c>
      <c r="B4" s="5" t="s">
        <v>140</v>
      </c>
      <c r="C4" s="5" t="s">
        <v>141</v>
      </c>
      <c r="D4" s="5" t="s">
        <v>142</v>
      </c>
    </row>
    <row r="5" customFormat="false" ht="61.5" hidden="false" customHeight="true" outlineLevel="0" collapsed="false">
      <c r="A5" s="5" t="s">
        <v>143</v>
      </c>
      <c r="B5" s="5" t="s">
        <v>144</v>
      </c>
      <c r="C5" s="5" t="s">
        <v>145</v>
      </c>
      <c r="D5" s="5" t="s">
        <v>146</v>
      </c>
    </row>
    <row r="6" customFormat="false" ht="61.5" hidden="false" customHeight="true" outlineLevel="0" collapsed="false">
      <c r="A6" s="5" t="s">
        <v>147</v>
      </c>
      <c r="B6" s="5" t="s">
        <v>148</v>
      </c>
      <c r="C6" s="5" t="s">
        <v>149</v>
      </c>
      <c r="D6" s="5" t="s">
        <v>150</v>
      </c>
    </row>
    <row r="7" customFormat="false" ht="61.5" hidden="false" customHeight="true" outlineLevel="0" collapsed="false">
      <c r="A7" s="5" t="s">
        <v>151</v>
      </c>
      <c r="B7" s="5" t="s">
        <v>152</v>
      </c>
      <c r="C7" s="5" t="s">
        <v>153</v>
      </c>
      <c r="D7" s="5" t="s">
        <v>154</v>
      </c>
    </row>
    <row r="8" customFormat="false" ht="61.5" hidden="false" customHeight="true" outlineLevel="0" collapsed="false">
      <c r="A8" s="5" t="s">
        <v>155</v>
      </c>
      <c r="B8" s="5" t="s">
        <v>156</v>
      </c>
      <c r="C8" s="5" t="s">
        <v>157</v>
      </c>
      <c r="D8" s="5" t="s">
        <v>158</v>
      </c>
    </row>
    <row r="9" customFormat="false" ht="61.5" hidden="false" customHeight="true" outlineLevel="0" collapsed="false">
      <c r="A9" s="5" t="s">
        <v>159</v>
      </c>
      <c r="B9" s="5" t="s">
        <v>160</v>
      </c>
      <c r="C9" s="5" t="s">
        <v>161</v>
      </c>
      <c r="D9" s="5" t="s">
        <v>162</v>
      </c>
    </row>
    <row r="10" customFormat="false" ht="61.5" hidden="false" customHeight="true" outlineLevel="0" collapsed="false">
      <c r="A10" s="5" t="s">
        <v>163</v>
      </c>
      <c r="B10" s="5" t="s">
        <v>164</v>
      </c>
      <c r="C10" s="5" t="s">
        <v>165</v>
      </c>
      <c r="D10" s="5" t="s">
        <v>166</v>
      </c>
    </row>
    <row r="11" customFormat="false" ht="61.5" hidden="false" customHeight="true" outlineLevel="0" collapsed="false">
      <c r="A11" s="5" t="s">
        <v>167</v>
      </c>
      <c r="B11" s="5" t="s">
        <v>168</v>
      </c>
      <c r="C11" s="5" t="s">
        <v>169</v>
      </c>
      <c r="D11" s="5" t="s">
        <v>154</v>
      </c>
    </row>
    <row r="12" customFormat="false" ht="61.5" hidden="false" customHeight="true" outlineLevel="0" collapsed="false">
      <c r="A12" s="5" t="s">
        <v>170</v>
      </c>
      <c r="B12" s="5" t="s">
        <v>171</v>
      </c>
      <c r="C12" s="5" t="s">
        <v>172</v>
      </c>
      <c r="D12" s="5" t="s">
        <v>173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2"/>
    <col collapsed="false" customWidth="true" hidden="false" outlineLevel="0" max="2" min="2" style="0" width="20"/>
    <col collapsed="false" customWidth="true" hidden="false" outlineLevel="0" max="3" min="3" style="0" width="50"/>
  </cols>
  <sheetData>
    <row r="1" customFormat="false" ht="17.35" hidden="false" customHeight="false" outlineLevel="0" collapsed="false">
      <c r="A1" s="1" t="s">
        <v>174</v>
      </c>
    </row>
    <row r="3" customFormat="false" ht="15" hidden="false" customHeight="false" outlineLevel="0" collapsed="false">
      <c r="A3" s="3" t="s">
        <v>175</v>
      </c>
      <c r="B3" s="3" t="s">
        <v>176</v>
      </c>
      <c r="C3" s="3" t="s">
        <v>177</v>
      </c>
    </row>
    <row r="4" customFormat="false" ht="15" hidden="false" customHeight="false" outlineLevel="0" collapsed="false">
      <c r="A4" s="5" t="s">
        <v>178</v>
      </c>
      <c r="B4" s="5" t="s">
        <v>179</v>
      </c>
      <c r="C4" s="5" t="s">
        <v>180</v>
      </c>
    </row>
    <row r="5" customFormat="false" ht="15" hidden="false" customHeight="false" outlineLevel="0" collapsed="false">
      <c r="A5" s="5" t="s">
        <v>181</v>
      </c>
      <c r="B5" s="5" t="s">
        <v>182</v>
      </c>
      <c r="C5" s="5" t="s">
        <v>183</v>
      </c>
    </row>
    <row r="6" customFormat="false" ht="15" hidden="false" customHeight="false" outlineLevel="0" collapsed="false">
      <c r="A6" s="5" t="s">
        <v>184</v>
      </c>
      <c r="B6" s="5" t="s">
        <v>185</v>
      </c>
      <c r="C6" s="5" t="s">
        <v>186</v>
      </c>
    </row>
    <row r="7" customFormat="false" ht="15" hidden="false" customHeight="false" outlineLevel="0" collapsed="false">
      <c r="A7" s="5" t="s">
        <v>187</v>
      </c>
      <c r="B7" s="5" t="s">
        <v>179</v>
      </c>
      <c r="C7" s="5" t="s">
        <v>188</v>
      </c>
    </row>
    <row r="8" customFormat="false" ht="15" hidden="false" customHeight="false" outlineLevel="0" collapsed="false">
      <c r="A8" s="5" t="s">
        <v>189</v>
      </c>
      <c r="B8" s="5" t="s">
        <v>182</v>
      </c>
      <c r="C8" s="5" t="s">
        <v>190</v>
      </c>
    </row>
    <row r="9" customFormat="false" ht="15" hidden="false" customHeight="false" outlineLevel="0" collapsed="false">
      <c r="A9" s="5" t="s">
        <v>191</v>
      </c>
      <c r="B9" s="5" t="s">
        <v>192</v>
      </c>
      <c r="C9" s="5" t="s">
        <v>193</v>
      </c>
    </row>
    <row r="10" customFormat="false" ht="26.85" hidden="false" customHeight="false" outlineLevel="0" collapsed="false">
      <c r="A10" s="5" t="s">
        <v>194</v>
      </c>
      <c r="B10" s="5" t="s">
        <v>182</v>
      </c>
      <c r="C10" s="5" t="s">
        <v>195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2026-10-06T09:16:45Z</dcterms:created>
  <dc:creator>openpyxl</dc:creator>
  <dc:description/>
  <dc:language>en-US</dc:language>
  <cp:lastModifiedBy/>
  <dcterms:modified xsi:type="dcterms:W3CDTF">2026-10-06T09:16:45Z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